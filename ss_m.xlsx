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2\"/>
    </mc:Choice>
  </mc:AlternateContent>
  <xr:revisionPtr revIDLastSave="0" documentId="13_ncr:1_{EEDF255E-405C-48CA-B380-F296B11DB6A6}" xr6:coauthVersionLast="47" xr6:coauthVersionMax="47" xr10:uidLastSave="{00000000-0000-0000-0000-000000000000}"/>
  <bookViews>
    <workbookView xWindow="-108" yWindow="-108" windowWidth="23256" windowHeight="12456" activeTab="3" xr2:uid="{D7C0C6D3-E8BC-472D-9A04-6D11B7424D92}"/>
  </bookViews>
  <sheets>
    <sheet name="buck" sheetId="1" r:id="rId1"/>
    <sheet name="boost" sheetId="2" r:id="rId2"/>
    <sheet name="buckboost" sheetId="3" r:id="rId3"/>
    <sheet name="Cuk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" i="3" l="1"/>
  <c r="C8" i="3"/>
  <c r="C7" i="3"/>
  <c r="I10" i="3"/>
  <c r="K10" i="3"/>
  <c r="I11" i="3"/>
  <c r="J11" i="3"/>
  <c r="K11" i="3"/>
  <c r="I12" i="3"/>
  <c r="K12" i="3"/>
  <c r="J9" i="3"/>
  <c r="I9" i="3"/>
  <c r="K8" i="3"/>
  <c r="I9" i="2"/>
  <c r="K9" i="2"/>
  <c r="I10" i="2"/>
  <c r="K11" i="2"/>
  <c r="J8" i="2"/>
  <c r="I8" i="2"/>
  <c r="K7" i="2"/>
  <c r="K12" i="4"/>
  <c r="K8" i="1"/>
  <c r="K10" i="1"/>
  <c r="I12" i="1"/>
  <c r="K12" i="1"/>
  <c r="K13" i="1"/>
  <c r="I9" i="1"/>
  <c r="I14" i="4"/>
  <c r="C23" i="4"/>
  <c r="L8" i="4" s="1"/>
  <c r="C13" i="4"/>
  <c r="C14" i="4"/>
  <c r="C12" i="4"/>
  <c r="C11" i="4"/>
  <c r="C20" i="4"/>
  <c r="C19" i="4"/>
  <c r="C6" i="4"/>
  <c r="C4" i="4"/>
  <c r="C17" i="3"/>
  <c r="C16" i="3"/>
  <c r="C19" i="2"/>
  <c r="I5" i="2" s="1"/>
  <c r="I11" i="2" s="1"/>
  <c r="C18" i="2"/>
  <c r="K4" i="2" s="1"/>
  <c r="K10" i="2" s="1"/>
  <c r="C17" i="2"/>
  <c r="C16" i="2"/>
  <c r="I5" i="1"/>
  <c r="C17" i="1"/>
  <c r="C16" i="1"/>
  <c r="C12" i="3"/>
  <c r="C11" i="3"/>
  <c r="C6" i="3"/>
  <c r="C4" i="3"/>
  <c r="C12" i="2"/>
  <c r="C11" i="2"/>
  <c r="C8" i="2"/>
  <c r="C6" i="2"/>
  <c r="C4" i="2"/>
  <c r="C7" i="2" s="1"/>
  <c r="C12" i="1"/>
  <c r="C11" i="1"/>
  <c r="C4" i="1"/>
  <c r="C19" i="1" s="1"/>
  <c r="J3" i="1" s="1"/>
  <c r="C6" i="1"/>
  <c r="C22" i="4" l="1"/>
  <c r="I3" i="1"/>
  <c r="C18" i="3"/>
  <c r="J5" i="2"/>
  <c r="J11" i="2" s="1"/>
  <c r="J3" i="2"/>
  <c r="J9" i="2" s="1"/>
  <c r="K2" i="2"/>
  <c r="K8" i="2" s="1"/>
  <c r="J4" i="2"/>
  <c r="J10" i="2" s="1"/>
  <c r="C18" i="1"/>
  <c r="J2" i="1" s="1"/>
  <c r="J9" i="1" s="1"/>
  <c r="I4" i="4"/>
  <c r="I15" i="4" s="1"/>
  <c r="J9" i="4"/>
  <c r="J20" i="4" s="1"/>
  <c r="C7" i="4"/>
  <c r="C24" i="4"/>
  <c r="L3" i="4"/>
  <c r="L14" i="4" s="1"/>
  <c r="K8" i="4"/>
  <c r="C21" i="4"/>
  <c r="M7" i="4"/>
  <c r="M18" i="4" s="1"/>
  <c r="I16" i="4"/>
  <c r="K21" i="4"/>
  <c r="J15" i="4"/>
  <c r="I18" i="4"/>
  <c r="J13" i="4"/>
  <c r="K19" i="4"/>
  <c r="M15" i="4"/>
  <c r="L15" i="4"/>
  <c r="K15" i="4"/>
  <c r="L18" i="4"/>
  <c r="M20" i="4"/>
  <c r="L20" i="4"/>
  <c r="I13" i="4"/>
  <c r="M16" i="4"/>
  <c r="K14" i="4"/>
  <c r="M14" i="4"/>
  <c r="L13" i="4"/>
  <c r="I20" i="4"/>
  <c r="J14" i="4"/>
  <c r="L19" i="4"/>
  <c r="M21" i="4"/>
  <c r="J19" i="4"/>
  <c r="I19" i="4"/>
  <c r="I21" i="4"/>
  <c r="K18" i="4"/>
  <c r="J18" i="4"/>
  <c r="K20" i="4"/>
  <c r="M19" i="4"/>
  <c r="K16" i="4"/>
  <c r="C8" i="4"/>
  <c r="C7" i="1"/>
  <c r="C8" i="1"/>
  <c r="K2" i="3" l="1"/>
  <c r="K9" i="3" s="1"/>
  <c r="J5" i="3"/>
  <c r="J12" i="3" s="1"/>
  <c r="J6" i="3"/>
  <c r="I6" i="3"/>
  <c r="J3" i="3"/>
  <c r="J10" i="3" s="1"/>
  <c r="K2" i="1"/>
  <c r="K9" i="1" s="1"/>
  <c r="J10" i="1"/>
  <c r="J6" i="1"/>
  <c r="J13" i="1" s="1"/>
  <c r="I10" i="1"/>
  <c r="I6" i="1"/>
  <c r="I13" i="1" s="1"/>
  <c r="K2" i="4"/>
  <c r="K13" i="4" s="1"/>
  <c r="M2" i="4"/>
  <c r="M13" i="4" s="1"/>
  <c r="L10" i="4"/>
  <c r="L21" i="4" s="1"/>
  <c r="J10" i="4"/>
  <c r="J21" i="4" s="1"/>
  <c r="L5" i="4"/>
  <c r="L16" i="4" s="1"/>
  <c r="J5" i="4"/>
  <c r="J16" i="4" s="1"/>
  <c r="J5" i="1" l="1"/>
  <c r="J12" i="1" s="1"/>
</calcChain>
</file>

<file path=xl/sharedStrings.xml><?xml version="1.0" encoding="utf-8"?>
<sst xmlns="http://schemas.openxmlformats.org/spreadsheetml/2006/main" count="94" uniqueCount="37">
  <si>
    <t>Buck</t>
  </si>
  <si>
    <t>Vbase</t>
  </si>
  <si>
    <t>Ibase</t>
  </si>
  <si>
    <t>Tbase</t>
  </si>
  <si>
    <t>Zbase</t>
  </si>
  <si>
    <t>Lbase</t>
  </si>
  <si>
    <t>Cbase</t>
  </si>
  <si>
    <t>fbase</t>
  </si>
  <si>
    <t>R</t>
  </si>
  <si>
    <t>L</t>
  </si>
  <si>
    <t>C</t>
  </si>
  <si>
    <t>Lu</t>
  </si>
  <si>
    <t>Cu</t>
  </si>
  <si>
    <t>Boost</t>
  </si>
  <si>
    <t>buck boost</t>
  </si>
  <si>
    <t>alpha L</t>
  </si>
  <si>
    <t>alpha C</t>
  </si>
  <si>
    <t>k</t>
  </si>
  <si>
    <t>u</t>
  </si>
  <si>
    <t>Vin</t>
  </si>
  <si>
    <t>ON</t>
  </si>
  <si>
    <t>OFF</t>
  </si>
  <si>
    <t>A</t>
  </si>
  <si>
    <t>B</t>
  </si>
  <si>
    <t>cuk</t>
  </si>
  <si>
    <t>L1</t>
  </si>
  <si>
    <t>C1</t>
  </si>
  <si>
    <t>L1 (micro)</t>
  </si>
  <si>
    <t>C1 (micro)</t>
  </si>
  <si>
    <t>L2</t>
  </si>
  <si>
    <t>C2</t>
  </si>
  <si>
    <t>L2 (micro)</t>
  </si>
  <si>
    <t>C2 (micro)</t>
  </si>
  <si>
    <t>alpha L1</t>
  </si>
  <si>
    <t>alpha C1</t>
  </si>
  <si>
    <t>alpha L2</t>
  </si>
  <si>
    <t>alpha 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</si>
</sst>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0000000000000"/>
    <numFmt numFmtId="165" formatCode="0.000000000000000"/>
    <numFmt numFmtId="166" formatCode="0.000000000000000000"/>
    <numFmt numFmtId="167" formatCode="_(* #,##0_);_(* \(#,##0\);_(* &quot;-&quot;??_);_(@_)"/>
    <numFmt numFmtId="168" formatCode="0.00000000000"/>
    <numFmt numFmtId="169" formatCode="0.000000000000"/>
    <numFmt numFmtId="170" formatCode="0.0000000000000"/>
    <numFmt numFmtId="171" formatCode="0.0000000000000000000"/>
    <numFmt numFmtId="183" formatCode="0.000000000000000000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11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1" applyNumberFormat="1" applyFont="1"/>
    <xf numFmtId="168" fontId="0" fillId="0" borderId="0" xfId="0" applyNumberFormat="1"/>
    <xf numFmtId="0" fontId="0" fillId="0" borderId="0" xfId="0" applyAlignment="1">
      <alignment vertical="center"/>
    </xf>
    <xf numFmtId="169" fontId="0" fillId="2" borderId="0" xfId="0" applyNumberFormat="1" applyFill="1"/>
    <xf numFmtId="0" fontId="0" fillId="3" borderId="0" xfId="0" applyFill="1" applyAlignment="1">
      <alignment horizontal="center" vertical="center"/>
    </xf>
    <xf numFmtId="169" fontId="0" fillId="3" borderId="0" xfId="0" applyNumberFormat="1" applyFill="1"/>
    <xf numFmtId="168" fontId="0" fillId="3" borderId="0" xfId="0" applyNumberFormat="1" applyFill="1" applyAlignment="1">
      <alignment vertical="center"/>
    </xf>
    <xf numFmtId="168" fontId="0" fillId="2" borderId="0" xfId="0" applyNumberFormat="1" applyFill="1" applyAlignment="1">
      <alignment vertical="center"/>
    </xf>
    <xf numFmtId="168" fontId="0" fillId="2" borderId="1" xfId="0" applyNumberFormat="1" applyFill="1" applyBorder="1" applyAlignment="1">
      <alignment vertical="center"/>
    </xf>
    <xf numFmtId="168" fontId="0" fillId="3" borderId="1" xfId="0" applyNumberFormat="1" applyFill="1" applyBorder="1" applyAlignment="1">
      <alignment vertical="center"/>
    </xf>
    <xf numFmtId="0" fontId="0" fillId="3" borderId="0" xfId="0" applyFill="1"/>
    <xf numFmtId="170" fontId="0" fillId="3" borderId="0" xfId="0" applyNumberFormat="1" applyFill="1"/>
    <xf numFmtId="170" fontId="0" fillId="2" borderId="0" xfId="0" applyNumberFormat="1" applyFill="1"/>
    <xf numFmtId="0" fontId="0" fillId="2" borderId="0" xfId="0" applyFill="1"/>
    <xf numFmtId="11" fontId="0" fillId="2" borderId="0" xfId="0" applyNumberFormat="1" applyFill="1"/>
    <xf numFmtId="164" fontId="0" fillId="2" borderId="0" xfId="0" applyNumberFormat="1" applyFill="1"/>
    <xf numFmtId="11" fontId="0" fillId="3" borderId="0" xfId="0" applyNumberFormat="1" applyFill="1"/>
    <xf numFmtId="1" fontId="0" fillId="0" borderId="0" xfId="0" applyNumberFormat="1"/>
    <xf numFmtId="2" fontId="0" fillId="0" borderId="0" xfId="0" applyNumberFormat="1"/>
    <xf numFmtId="171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3" fontId="0" fillId="0" borderId="0" xfId="0" applyNumberFormat="1"/>
  </cellXfs>
  <cellStyles count="2">
    <cellStyle name="Comma" xfId="1" builtinId="3"/>
    <cellStyle name="Normal" xfId="0" builtinId="0"/>
  </cellStyles>
  <dxfs count="8">
    <dxf>
      <numFmt numFmtId="172" formatCode="0.0000000000"/>
    </dxf>
    <dxf>
      <numFmt numFmtId="1" formatCode="0"/>
    </dxf>
    <dxf>
      <numFmt numFmtId="1" formatCode="0"/>
    </dxf>
    <dxf>
      <numFmt numFmtId="172" formatCode="0.0000000000"/>
    </dxf>
    <dxf>
      <numFmt numFmtId="1" formatCode="0"/>
    </dxf>
    <dxf>
      <numFmt numFmtId="172" formatCode="0.0000000000"/>
    </dxf>
    <dxf>
      <numFmt numFmtId="1" formatCode="0"/>
    </dxf>
    <dxf>
      <numFmt numFmtId="172" formatCode="0.00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0B92F-E2F7-4C3A-85CF-354702A59ECC}">
  <dimension ref="A1:L23"/>
  <sheetViews>
    <sheetView topLeftCell="E1" workbookViewId="0">
      <selection activeCell="I3" sqref="I3"/>
    </sheetView>
  </sheetViews>
  <sheetFormatPr defaultRowHeight="14.4" x14ac:dyDescent="0.3"/>
  <cols>
    <col min="3" max="3" width="10" bestFit="1" customWidth="1"/>
    <col min="6" max="6" width="13.6640625" bestFit="1" customWidth="1"/>
    <col min="9" max="9" width="24.88671875" bestFit="1" customWidth="1"/>
    <col min="10" max="10" width="23.5546875" bestFit="1" customWidth="1"/>
    <col min="11" max="11" width="22.88671875" bestFit="1" customWidth="1"/>
    <col min="12" max="12" width="15.77734375" customWidth="1"/>
    <col min="15" max="15" width="12.6640625" bestFit="1" customWidth="1"/>
  </cols>
  <sheetData>
    <row r="1" spans="1:12" x14ac:dyDescent="0.3">
      <c r="A1" t="s">
        <v>0</v>
      </c>
      <c r="I1" s="26" t="s">
        <v>22</v>
      </c>
      <c r="J1" s="26"/>
      <c r="K1" s="9" t="s">
        <v>23</v>
      </c>
    </row>
    <row r="2" spans="1:12" x14ac:dyDescent="0.3">
      <c r="B2" t="s">
        <v>1</v>
      </c>
      <c r="C2">
        <v>5</v>
      </c>
      <c r="E2" t="s">
        <v>7</v>
      </c>
      <c r="F2" s="5">
        <v>10000000</v>
      </c>
      <c r="H2" s="27" t="s">
        <v>20</v>
      </c>
      <c r="I2" s="8">
        <v>0</v>
      </c>
      <c r="J2" s="8">
        <f>-C18</f>
        <v>-9.999999999999998E-4</v>
      </c>
      <c r="K2" s="10">
        <f>C18</f>
        <v>9.999999999999998E-4</v>
      </c>
    </row>
    <row r="3" spans="1:12" x14ac:dyDescent="0.3">
      <c r="B3" t="s">
        <v>2</v>
      </c>
      <c r="C3">
        <v>5</v>
      </c>
      <c r="H3" s="27"/>
      <c r="I3" s="8">
        <f>C19*C17</f>
        <v>1.7857142857142857E-4</v>
      </c>
      <c r="J3" s="8">
        <f>-C19/C10</f>
        <v>-1.7857142857142857E-4</v>
      </c>
      <c r="K3" s="10">
        <v>0</v>
      </c>
    </row>
    <row r="4" spans="1:12" x14ac:dyDescent="0.3">
      <c r="B4" t="s">
        <v>3</v>
      </c>
      <c r="C4">
        <f>1/F2</f>
        <v>9.9999999999999995E-8</v>
      </c>
      <c r="H4" s="6"/>
      <c r="I4" s="8"/>
      <c r="J4" s="8"/>
      <c r="K4" s="10"/>
    </row>
    <row r="5" spans="1:12" x14ac:dyDescent="0.3">
      <c r="H5" s="28" t="s">
        <v>21</v>
      </c>
      <c r="I5" s="8">
        <f>I2</f>
        <v>0</v>
      </c>
      <c r="J5" s="8">
        <f>J2</f>
        <v>-9.999999999999998E-4</v>
      </c>
      <c r="K5" s="10">
        <v>0</v>
      </c>
    </row>
    <row r="6" spans="1:12" x14ac:dyDescent="0.3">
      <c r="B6" t="s">
        <v>4</v>
      </c>
      <c r="C6">
        <f>C2/C3</f>
        <v>1</v>
      </c>
      <c r="H6" s="28"/>
      <c r="I6" s="8">
        <f>I3</f>
        <v>1.7857142857142857E-4</v>
      </c>
      <c r="J6" s="8">
        <f>J3</f>
        <v>-1.7857142857142857E-4</v>
      </c>
      <c r="K6" s="10">
        <v>0</v>
      </c>
    </row>
    <row r="7" spans="1:12" x14ac:dyDescent="0.3">
      <c r="B7" t="s">
        <v>5</v>
      </c>
      <c r="C7">
        <f>C6*C4</f>
        <v>9.9999999999999995E-8</v>
      </c>
    </row>
    <row r="8" spans="1:12" x14ac:dyDescent="0.3">
      <c r="B8" t="s">
        <v>6</v>
      </c>
      <c r="C8">
        <f>C4/C6</f>
        <v>9.9999999999999995E-8</v>
      </c>
      <c r="I8" s="1">
        <v>9.9999999999999995E-8</v>
      </c>
      <c r="J8">
        <v>23</v>
      </c>
      <c r="K8">
        <f>ROUNDUP(ABS(LOG(I8,2)),0)</f>
        <v>24</v>
      </c>
    </row>
    <row r="9" spans="1:12" x14ac:dyDescent="0.3">
      <c r="I9" s="23">
        <f>ROUNDDOWN(I2*POWER(2,$J$8),0)/POWER(2,$J$8)</f>
        <v>0</v>
      </c>
      <c r="J9" s="24">
        <f t="shared" ref="J9:K9" si="0">ROUNDDOWN(J2*POWER(2,$J$8),0)/POWER(2,$J$8)</f>
        <v>-9.9992752075195313E-4</v>
      </c>
      <c r="K9" s="24">
        <f t="shared" si="0"/>
        <v>9.9992752075195313E-4</v>
      </c>
    </row>
    <row r="10" spans="1:12" x14ac:dyDescent="0.3">
      <c r="B10" t="s">
        <v>8</v>
      </c>
      <c r="C10">
        <v>1</v>
      </c>
      <c r="I10" s="24">
        <f t="shared" ref="I10:K10" si="1">ROUNDDOWN(I3*POWER(2,$J$8),0)/POWER(2,$J$8)</f>
        <v>1.7845630645751953E-4</v>
      </c>
      <c r="J10" s="24">
        <f t="shared" si="1"/>
        <v>-1.7845630645751953E-4</v>
      </c>
      <c r="K10" s="23">
        <f t="shared" si="1"/>
        <v>0</v>
      </c>
      <c r="L10" s="4"/>
    </row>
    <row r="11" spans="1:12" x14ac:dyDescent="0.3">
      <c r="B11" t="s">
        <v>9</v>
      </c>
      <c r="C11" s="1">
        <f>F11/1000000</f>
        <v>1E-4</v>
      </c>
      <c r="E11" t="s">
        <v>11</v>
      </c>
      <c r="F11">
        <v>100</v>
      </c>
      <c r="I11" s="23"/>
      <c r="J11" s="23"/>
      <c r="K11" s="23"/>
      <c r="L11" s="4"/>
    </row>
    <row r="12" spans="1:12" x14ac:dyDescent="0.3">
      <c r="B12" t="s">
        <v>10</v>
      </c>
      <c r="C12" s="1">
        <f>F12/1000000</f>
        <v>5.5999999999999995E-4</v>
      </c>
      <c r="E12" t="s">
        <v>12</v>
      </c>
      <c r="F12">
        <v>560</v>
      </c>
      <c r="I12" s="23">
        <f t="shared" ref="I12:K12" si="2">ROUNDDOWN(I5*POWER(2,$J$8),0)/POWER(2,$J$8)</f>
        <v>0</v>
      </c>
      <c r="J12" s="24">
        <f t="shared" si="2"/>
        <v>-9.9992752075195313E-4</v>
      </c>
      <c r="K12" s="22">
        <f t="shared" si="2"/>
        <v>0</v>
      </c>
    </row>
    <row r="13" spans="1:12" x14ac:dyDescent="0.3">
      <c r="I13" s="24">
        <f t="shared" ref="I13:K13" si="3">ROUNDDOWN(I6*POWER(2,$J$8),0)/POWER(2,$J$8)</f>
        <v>1.7845630645751953E-4</v>
      </c>
      <c r="J13" s="24">
        <f t="shared" si="3"/>
        <v>-1.7845630645751953E-4</v>
      </c>
      <c r="K13" s="23">
        <f t="shared" si="3"/>
        <v>0</v>
      </c>
    </row>
    <row r="14" spans="1:12" x14ac:dyDescent="0.3">
      <c r="B14" t="s">
        <v>19</v>
      </c>
      <c r="C14">
        <v>5</v>
      </c>
    </row>
    <row r="16" spans="1:12" x14ac:dyDescent="0.3">
      <c r="B16" t="s">
        <v>18</v>
      </c>
      <c r="C16">
        <f>C14/C2</f>
        <v>1</v>
      </c>
      <c r="I16" s="31"/>
    </row>
    <row r="17" spans="2:12" x14ac:dyDescent="0.3">
      <c r="B17" t="s">
        <v>17</v>
      </c>
      <c r="C17">
        <f>C3/C2</f>
        <v>1</v>
      </c>
      <c r="L17" s="2"/>
    </row>
    <row r="18" spans="2:12" x14ac:dyDescent="0.3">
      <c r="B18" t="s">
        <v>15</v>
      </c>
      <c r="C18" s="1">
        <f>C4/C11</f>
        <v>9.999999999999998E-4</v>
      </c>
    </row>
    <row r="19" spans="2:12" x14ac:dyDescent="0.3">
      <c r="B19" t="s">
        <v>16</v>
      </c>
      <c r="C19" s="1">
        <f>C4/C12</f>
        <v>1.7857142857142857E-4</v>
      </c>
    </row>
    <row r="22" spans="2:12" x14ac:dyDescent="0.3">
      <c r="D22" s="1"/>
      <c r="I22" s="1"/>
    </row>
    <row r="23" spans="2:12" x14ac:dyDescent="0.3">
      <c r="D23" s="1"/>
      <c r="H23" s="1"/>
    </row>
  </sheetData>
  <mergeCells count="3">
    <mergeCell ref="I1:J1"/>
    <mergeCell ref="H2:H3"/>
    <mergeCell ref="H5:H6"/>
  </mergeCells>
  <conditionalFormatting sqref="I2:K6">
    <cfRule type="cellIs" dxfId="7" priority="1" operator="notEqual">
      <formula>0</formula>
    </cfRule>
    <cfRule type="cellIs" dxfId="6" priority="2" operator="equal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E5034-9AA4-489E-BDA2-645E00C70EF1}">
  <dimension ref="A1:O19"/>
  <sheetViews>
    <sheetView topLeftCell="D1" workbookViewId="0">
      <selection activeCell="I5" sqref="I5"/>
    </sheetView>
  </sheetViews>
  <sheetFormatPr defaultRowHeight="14.4" x14ac:dyDescent="0.3"/>
  <cols>
    <col min="6" max="6" width="12.5546875" bestFit="1" customWidth="1"/>
    <col min="9" max="9" width="13.6640625" bestFit="1" customWidth="1"/>
    <col min="10" max="11" width="25.5546875" bestFit="1" customWidth="1"/>
    <col min="14" max="14" width="30.109375" bestFit="1" customWidth="1"/>
    <col min="15" max="15" width="30.44140625" bestFit="1" customWidth="1"/>
  </cols>
  <sheetData>
    <row r="1" spans="1:15" x14ac:dyDescent="0.3">
      <c r="A1" t="s">
        <v>13</v>
      </c>
      <c r="I1" s="29" t="s">
        <v>22</v>
      </c>
      <c r="J1" s="29"/>
      <c r="K1" s="9" t="s">
        <v>23</v>
      </c>
    </row>
    <row r="2" spans="1:15" x14ac:dyDescent="0.3">
      <c r="B2" t="s">
        <v>1</v>
      </c>
      <c r="C2">
        <v>5</v>
      </c>
      <c r="E2" t="s">
        <v>7</v>
      </c>
      <c r="F2" s="5">
        <v>10000000</v>
      </c>
      <c r="H2" s="25" t="s">
        <v>20</v>
      </c>
      <c r="I2" s="12">
        <v>0</v>
      </c>
      <c r="J2" s="12">
        <v>0</v>
      </c>
      <c r="K2" s="11">
        <f>C18</f>
        <v>9.999999999999998E-4</v>
      </c>
      <c r="O2" s="1"/>
    </row>
    <row r="3" spans="1:15" ht="15" thickBot="1" x14ac:dyDescent="0.35">
      <c r="B3" t="s">
        <v>2</v>
      </c>
      <c r="C3">
        <v>5</v>
      </c>
      <c r="H3" s="30"/>
      <c r="I3" s="13">
        <v>0</v>
      </c>
      <c r="J3" s="13">
        <f>-C19/C10</f>
        <v>-1.7857142857142857E-4</v>
      </c>
      <c r="K3" s="14">
        <v>0</v>
      </c>
      <c r="N3" s="1"/>
      <c r="O3" s="1"/>
    </row>
    <row r="4" spans="1:15" x14ac:dyDescent="0.3">
      <c r="B4" t="s">
        <v>3</v>
      </c>
      <c r="C4">
        <f>1/F2</f>
        <v>9.9999999999999995E-8</v>
      </c>
      <c r="H4" s="25" t="s">
        <v>21</v>
      </c>
      <c r="I4" s="12">
        <v>0</v>
      </c>
      <c r="J4" s="12">
        <f>-C18</f>
        <v>-9.999999999999998E-4</v>
      </c>
      <c r="K4" s="11">
        <f>C18</f>
        <v>9.999999999999998E-4</v>
      </c>
    </row>
    <row r="5" spans="1:15" x14ac:dyDescent="0.3">
      <c r="H5" s="25"/>
      <c r="I5" s="12">
        <f>C19*C17</f>
        <v>1.7857142857142857E-4</v>
      </c>
      <c r="J5" s="12">
        <f>-C19/C10</f>
        <v>-1.7857142857142857E-4</v>
      </c>
      <c r="K5" s="11">
        <v>0</v>
      </c>
    </row>
    <row r="6" spans="1:15" x14ac:dyDescent="0.3">
      <c r="B6" t="s">
        <v>4</v>
      </c>
      <c r="C6">
        <f>C2/C3</f>
        <v>1</v>
      </c>
    </row>
    <row r="7" spans="1:15" x14ac:dyDescent="0.3">
      <c r="B7" t="s">
        <v>5</v>
      </c>
      <c r="C7">
        <f>C6*C4</f>
        <v>9.9999999999999995E-8</v>
      </c>
      <c r="I7" s="1">
        <v>9.9999999999999995E-8</v>
      </c>
      <c r="J7">
        <v>23</v>
      </c>
      <c r="K7">
        <f>ROUNDUP(ABS(LOG(I7,2)),0)</f>
        <v>24</v>
      </c>
    </row>
    <row r="8" spans="1:15" x14ac:dyDescent="0.3">
      <c r="B8" t="s">
        <v>6</v>
      </c>
      <c r="C8">
        <f>C4/C6</f>
        <v>9.9999999999999995E-8</v>
      </c>
      <c r="I8">
        <f>ROUNDDOWN(I2*POWER(2,$J$7),0)/POWER(2,$J$7)</f>
        <v>0</v>
      </c>
      <c r="J8">
        <f t="shared" ref="J8:K8" si="0">ROUNDDOWN(J2*POWER(2,$J$7),0)/POWER(2,$J$7)</f>
        <v>0</v>
      </c>
      <c r="K8">
        <f t="shared" si="0"/>
        <v>9.9992752075195313E-4</v>
      </c>
    </row>
    <row r="9" spans="1:15" x14ac:dyDescent="0.3">
      <c r="I9">
        <f t="shared" ref="I9:K9" si="1">ROUNDDOWN(I3*POWER(2,$J$7),0)/POWER(2,$J$7)</f>
        <v>0</v>
      </c>
      <c r="J9">
        <f t="shared" si="1"/>
        <v>-1.7845630645751953E-4</v>
      </c>
      <c r="K9">
        <f t="shared" si="1"/>
        <v>0</v>
      </c>
    </row>
    <row r="10" spans="1:15" x14ac:dyDescent="0.3">
      <c r="B10" t="s">
        <v>8</v>
      </c>
      <c r="C10">
        <v>1</v>
      </c>
      <c r="I10">
        <f t="shared" ref="I10:K10" si="2">ROUNDDOWN(I4*POWER(2,$J$7),0)/POWER(2,$J$7)</f>
        <v>0</v>
      </c>
      <c r="J10">
        <f t="shared" si="2"/>
        <v>-9.9992752075195313E-4</v>
      </c>
      <c r="K10">
        <f t="shared" si="2"/>
        <v>9.9992752075195313E-4</v>
      </c>
    </row>
    <row r="11" spans="1:15" x14ac:dyDescent="0.3">
      <c r="B11" t="s">
        <v>9</v>
      </c>
      <c r="C11" s="1">
        <f>F11/1000000</f>
        <v>1E-4</v>
      </c>
      <c r="E11" t="s">
        <v>11</v>
      </c>
      <c r="F11">
        <v>100</v>
      </c>
      <c r="I11">
        <f t="shared" ref="I11:K11" si="3">ROUNDDOWN(I5*POWER(2,$J$7),0)/POWER(2,$J$7)</f>
        <v>1.7845630645751953E-4</v>
      </c>
      <c r="J11">
        <f t="shared" si="3"/>
        <v>-1.7845630645751953E-4</v>
      </c>
      <c r="K11">
        <f t="shared" si="3"/>
        <v>0</v>
      </c>
    </row>
    <row r="12" spans="1:15" x14ac:dyDescent="0.3">
      <c r="B12" t="s">
        <v>10</v>
      </c>
      <c r="C12" s="1">
        <f>F12/1000000</f>
        <v>5.5999999999999995E-4</v>
      </c>
      <c r="E12" t="s">
        <v>12</v>
      </c>
      <c r="F12">
        <v>560</v>
      </c>
    </row>
    <row r="14" spans="1:15" x14ac:dyDescent="0.3">
      <c r="B14" t="s">
        <v>19</v>
      </c>
      <c r="C14">
        <v>5</v>
      </c>
    </row>
    <row r="16" spans="1:15" x14ac:dyDescent="0.3">
      <c r="B16" t="s">
        <v>18</v>
      </c>
      <c r="C16">
        <f>C14/C2</f>
        <v>1</v>
      </c>
    </row>
    <row r="17" spans="2:3" x14ac:dyDescent="0.3">
      <c r="B17" t="s">
        <v>17</v>
      </c>
      <c r="C17">
        <f>C3/C2</f>
        <v>1</v>
      </c>
    </row>
    <row r="18" spans="2:3" x14ac:dyDescent="0.3">
      <c r="B18" t="s">
        <v>15</v>
      </c>
      <c r="C18" s="1">
        <f>C4/C11</f>
        <v>9.999999999999998E-4</v>
      </c>
    </row>
    <row r="19" spans="2:3" x14ac:dyDescent="0.3">
      <c r="B19" t="s">
        <v>16</v>
      </c>
      <c r="C19" s="1">
        <f>C4/C12</f>
        <v>1.7857142857142857E-4</v>
      </c>
    </row>
  </sheetData>
  <mergeCells count="3">
    <mergeCell ref="I1:J1"/>
    <mergeCell ref="H2:H3"/>
    <mergeCell ref="H4:H5"/>
  </mergeCells>
  <conditionalFormatting sqref="I2:K5">
    <cfRule type="cellIs" dxfId="5" priority="1" operator="notEqual">
      <formula>0</formula>
    </cfRule>
    <cfRule type="cellIs" dxfId="4" priority="2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E13E0-D3DB-4756-8A79-836776F6804B}">
  <dimension ref="A1:O19"/>
  <sheetViews>
    <sheetView workbookViewId="0">
      <selection activeCell="E24" sqref="E24"/>
    </sheetView>
  </sheetViews>
  <sheetFormatPr defaultRowHeight="14.4" x14ac:dyDescent="0.3"/>
  <cols>
    <col min="6" max="6" width="12.5546875" bestFit="1" customWidth="1"/>
    <col min="9" max="9" width="16.33203125" bestFit="1" customWidth="1"/>
    <col min="10" max="11" width="17.5546875" bestFit="1" customWidth="1"/>
    <col min="14" max="14" width="17.77734375" bestFit="1" customWidth="1"/>
    <col min="15" max="15" width="18.44140625" bestFit="1" customWidth="1"/>
  </cols>
  <sheetData>
    <row r="1" spans="1:15" x14ac:dyDescent="0.3">
      <c r="A1" t="s">
        <v>14</v>
      </c>
      <c r="I1" s="26" t="s">
        <v>22</v>
      </c>
      <c r="J1" s="26"/>
      <c r="K1" s="9" t="s">
        <v>23</v>
      </c>
    </row>
    <row r="2" spans="1:15" x14ac:dyDescent="0.3">
      <c r="B2" t="s">
        <v>1</v>
      </c>
      <c r="C2">
        <v>5</v>
      </c>
      <c r="E2" t="s">
        <v>7</v>
      </c>
      <c r="F2" s="5">
        <v>10000000</v>
      </c>
      <c r="H2" s="25" t="s">
        <v>20</v>
      </c>
      <c r="I2" s="17">
        <v>0</v>
      </c>
      <c r="J2" s="17">
        <v>0</v>
      </c>
      <c r="K2" s="16">
        <f>C18</f>
        <v>9.999999999999998E-4</v>
      </c>
      <c r="O2" s="1"/>
    </row>
    <row r="3" spans="1:15" x14ac:dyDescent="0.3">
      <c r="B3" t="s">
        <v>2</v>
      </c>
      <c r="C3">
        <v>5</v>
      </c>
      <c r="H3" s="25"/>
      <c r="I3" s="17">
        <v>0</v>
      </c>
      <c r="J3" s="17">
        <f>-C19/C10</f>
        <v>-1.7857142857142857E-4</v>
      </c>
      <c r="K3" s="16">
        <v>0</v>
      </c>
      <c r="N3" s="1"/>
      <c r="O3" s="1"/>
    </row>
    <row r="4" spans="1:15" x14ac:dyDescent="0.3">
      <c r="B4" t="s">
        <v>3</v>
      </c>
      <c r="C4">
        <f>1/F2</f>
        <v>9.9999999999999995E-8</v>
      </c>
      <c r="I4" s="17"/>
      <c r="J4" s="17"/>
      <c r="K4" s="16"/>
    </row>
    <row r="5" spans="1:15" x14ac:dyDescent="0.3">
      <c r="H5" s="25" t="s">
        <v>21</v>
      </c>
      <c r="I5" s="17">
        <v>0</v>
      </c>
      <c r="J5" s="17">
        <f>-C18</f>
        <v>-9.999999999999998E-4</v>
      </c>
      <c r="K5" s="16">
        <v>0</v>
      </c>
    </row>
    <row r="6" spans="1:15" x14ac:dyDescent="0.3">
      <c r="B6" t="s">
        <v>4</v>
      </c>
      <c r="C6">
        <f>C2/C3</f>
        <v>1</v>
      </c>
      <c r="H6" s="25"/>
      <c r="I6" s="17">
        <f>-C19*C17</f>
        <v>-1.7857142857142857E-4</v>
      </c>
      <c r="J6" s="17">
        <f>-C19/C10</f>
        <v>-1.7857142857142857E-4</v>
      </c>
      <c r="K6" s="16">
        <v>0</v>
      </c>
    </row>
    <row r="7" spans="1:15" x14ac:dyDescent="0.3">
      <c r="B7" t="s">
        <v>5</v>
      </c>
      <c r="C7">
        <f>C6*C4</f>
        <v>9.9999999999999995E-8</v>
      </c>
    </row>
    <row r="8" spans="1:15" x14ac:dyDescent="0.3">
      <c r="B8" t="s">
        <v>6</v>
      </c>
      <c r="C8">
        <f>C4/C6</f>
        <v>9.9999999999999995E-8</v>
      </c>
      <c r="I8" s="1">
        <v>9.9999999999999995E-8</v>
      </c>
      <c r="J8">
        <v>23</v>
      </c>
      <c r="K8">
        <f>ROUNDUP(ABS(LOG(I8,2)),0)</f>
        <v>24</v>
      </c>
      <c r="N8" s="3"/>
      <c r="O8" s="3"/>
    </row>
    <row r="9" spans="1:15" x14ac:dyDescent="0.3">
      <c r="I9">
        <f>ROUNDDOWN(I2*POWER(2,$J$8),0)/POWER(2,$J$8)</f>
        <v>0</v>
      </c>
      <c r="J9">
        <f t="shared" ref="J9:K9" si="0">ROUNDDOWN(J2*POWER(2,$J$8),0)/POWER(2,$J$8)</f>
        <v>0</v>
      </c>
      <c r="K9">
        <f t="shared" si="0"/>
        <v>9.9992752075195313E-4</v>
      </c>
      <c r="N9" s="3"/>
      <c r="O9" s="3"/>
    </row>
    <row r="10" spans="1:15" x14ac:dyDescent="0.3">
      <c r="B10" t="s">
        <v>8</v>
      </c>
      <c r="C10">
        <v>1</v>
      </c>
      <c r="I10">
        <f t="shared" ref="I10:K10" si="1">ROUNDDOWN(I3*POWER(2,$J$8),0)/POWER(2,$J$8)</f>
        <v>0</v>
      </c>
      <c r="J10">
        <f t="shared" si="1"/>
        <v>-1.7845630645751953E-4</v>
      </c>
      <c r="K10">
        <f t="shared" si="1"/>
        <v>0</v>
      </c>
    </row>
    <row r="11" spans="1:15" x14ac:dyDescent="0.3">
      <c r="B11" t="s">
        <v>9</v>
      </c>
      <c r="C11" s="1">
        <f>F11/1000000</f>
        <v>1E-4</v>
      </c>
      <c r="E11" t="s">
        <v>11</v>
      </c>
      <c r="F11">
        <v>100</v>
      </c>
      <c r="I11">
        <f t="shared" ref="I11:K11" si="2">ROUNDDOWN(I4*POWER(2,$J$8),0)/POWER(2,$J$8)</f>
        <v>0</v>
      </c>
      <c r="J11">
        <f t="shared" si="2"/>
        <v>0</v>
      </c>
      <c r="K11">
        <f t="shared" si="2"/>
        <v>0</v>
      </c>
    </row>
    <row r="12" spans="1:15" x14ac:dyDescent="0.3">
      <c r="B12" t="s">
        <v>10</v>
      </c>
      <c r="C12" s="1">
        <f>F12/1000000</f>
        <v>5.5999999999999995E-4</v>
      </c>
      <c r="E12" t="s">
        <v>12</v>
      </c>
      <c r="F12">
        <v>560</v>
      </c>
      <c r="I12">
        <f t="shared" ref="I12:K12" si="3">ROUNDDOWN(I5*POWER(2,$J$8),0)/POWER(2,$J$8)</f>
        <v>0</v>
      </c>
      <c r="J12">
        <f t="shared" si="3"/>
        <v>-9.9992752075195313E-4</v>
      </c>
      <c r="K12">
        <f t="shared" si="3"/>
        <v>0</v>
      </c>
    </row>
    <row r="14" spans="1:15" x14ac:dyDescent="0.3">
      <c r="B14" t="s">
        <v>19</v>
      </c>
      <c r="C14">
        <v>5</v>
      </c>
    </row>
    <row r="16" spans="1:15" x14ac:dyDescent="0.3">
      <c r="B16" t="s">
        <v>18</v>
      </c>
      <c r="C16">
        <f>C14/C2</f>
        <v>1</v>
      </c>
    </row>
    <row r="17" spans="2:3" x14ac:dyDescent="0.3">
      <c r="B17" t="s">
        <v>17</v>
      </c>
      <c r="C17">
        <f>C3/C2</f>
        <v>1</v>
      </c>
    </row>
    <row r="18" spans="2:3" x14ac:dyDescent="0.3">
      <c r="B18" t="s">
        <v>15</v>
      </c>
      <c r="C18" s="1">
        <f>C4/C11</f>
        <v>9.999999999999998E-4</v>
      </c>
    </row>
    <row r="19" spans="2:3" x14ac:dyDescent="0.3">
      <c r="B19" t="s">
        <v>16</v>
      </c>
      <c r="C19" s="1">
        <f>C4/C12</f>
        <v>1.7857142857142857E-4</v>
      </c>
    </row>
  </sheetData>
  <mergeCells count="3">
    <mergeCell ref="H2:H3"/>
    <mergeCell ref="H5:H6"/>
    <mergeCell ref="I1:J1"/>
  </mergeCells>
  <conditionalFormatting sqref="I1:K6">
    <cfRule type="cellIs" dxfId="3" priority="1" operator="notEqual">
      <formula>0</formula>
    </cfRule>
    <cfRule type="cellIs" dxfId="2" priority="2" operator="equal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79D49-24D0-4C8C-BFBD-5268F73CE300}">
  <dimension ref="A1:M24"/>
  <sheetViews>
    <sheetView tabSelected="1" workbookViewId="0">
      <selection activeCell="F13" sqref="F13"/>
    </sheetView>
  </sheetViews>
  <sheetFormatPr defaultRowHeight="14.4" x14ac:dyDescent="0.3"/>
  <cols>
    <col min="6" max="6" width="11" bestFit="1" customWidth="1"/>
    <col min="9" max="9" width="15.6640625" bestFit="1" customWidth="1"/>
    <col min="10" max="10" width="17.44140625" bestFit="1" customWidth="1"/>
    <col min="11" max="11" width="16.6640625" bestFit="1" customWidth="1"/>
    <col min="12" max="13" width="15.6640625" bestFit="1" customWidth="1"/>
  </cols>
  <sheetData>
    <row r="1" spans="1:13" x14ac:dyDescent="0.3">
      <c r="A1" t="s">
        <v>24</v>
      </c>
      <c r="I1" s="26" t="s">
        <v>22</v>
      </c>
      <c r="J1" s="26"/>
      <c r="K1" s="26"/>
      <c r="L1" s="26"/>
      <c r="M1" s="9" t="s">
        <v>23</v>
      </c>
    </row>
    <row r="2" spans="1:13" x14ac:dyDescent="0.3">
      <c r="B2" t="s">
        <v>1</v>
      </c>
      <c r="C2">
        <v>5</v>
      </c>
      <c r="E2" t="s">
        <v>7</v>
      </c>
      <c r="F2" s="5">
        <v>10000000</v>
      </c>
      <c r="H2" s="25" t="s">
        <v>20</v>
      </c>
      <c r="I2" s="17">
        <v>0</v>
      </c>
      <c r="J2" s="17">
        <v>0</v>
      </c>
      <c r="K2" s="17">
        <f>-C21</f>
        <v>-9.999999999999998E-4</v>
      </c>
      <c r="L2" s="18">
        <v>0</v>
      </c>
      <c r="M2" s="21">
        <f>C21</f>
        <v>9.999999999999998E-4</v>
      </c>
    </row>
    <row r="3" spans="1:13" x14ac:dyDescent="0.3">
      <c r="B3" t="s">
        <v>2</v>
      </c>
      <c r="C3">
        <v>5</v>
      </c>
      <c r="H3" s="25"/>
      <c r="I3" s="17">
        <v>0</v>
      </c>
      <c r="J3" s="17">
        <v>0</v>
      </c>
      <c r="K3" s="17">
        <v>0</v>
      </c>
      <c r="L3" s="19">
        <f>-C23</f>
        <v>-9.999999999999998E-4</v>
      </c>
      <c r="M3" s="16">
        <v>0</v>
      </c>
    </row>
    <row r="4" spans="1:13" x14ac:dyDescent="0.3">
      <c r="B4" t="s">
        <v>3</v>
      </c>
      <c r="C4">
        <f>1/F2</f>
        <v>9.9999999999999995E-8</v>
      </c>
      <c r="H4" s="25"/>
      <c r="I4" s="17">
        <f>C22*C20</f>
        <v>4.5454545454545449E-4</v>
      </c>
      <c r="J4" s="17">
        <v>0</v>
      </c>
      <c r="K4" s="17">
        <v>0</v>
      </c>
      <c r="L4" s="18">
        <v>0</v>
      </c>
      <c r="M4" s="16">
        <v>0</v>
      </c>
    </row>
    <row r="5" spans="1:13" x14ac:dyDescent="0.3">
      <c r="H5" s="25"/>
      <c r="I5" s="17">
        <v>0</v>
      </c>
      <c r="J5" s="17">
        <f>C24*C20</f>
        <v>4.5454545454545449E-4</v>
      </c>
      <c r="K5" s="17">
        <v>0</v>
      </c>
      <c r="L5" s="18">
        <f>-C24/C10</f>
        <v>-4.5454545454545449E-4</v>
      </c>
      <c r="M5" s="15">
        <v>0</v>
      </c>
    </row>
    <row r="6" spans="1:13" x14ac:dyDescent="0.3">
      <c r="B6" t="s">
        <v>4</v>
      </c>
      <c r="C6">
        <f>C2/C3</f>
        <v>1</v>
      </c>
      <c r="H6" s="7"/>
      <c r="I6" s="17"/>
      <c r="J6" s="17"/>
      <c r="K6" s="17"/>
      <c r="L6" s="18"/>
      <c r="M6" s="15"/>
    </row>
    <row r="7" spans="1:13" x14ac:dyDescent="0.3">
      <c r="B7" t="s">
        <v>5</v>
      </c>
      <c r="C7">
        <f>C6*C4</f>
        <v>9.9999999999999995E-8</v>
      </c>
      <c r="H7" s="25" t="s">
        <v>21</v>
      </c>
      <c r="I7" s="17">
        <v>0</v>
      </c>
      <c r="J7" s="17">
        <v>0</v>
      </c>
      <c r="K7" s="17">
        <v>0</v>
      </c>
      <c r="L7" s="17">
        <v>0</v>
      </c>
      <c r="M7" s="21">
        <f>C21</f>
        <v>9.999999999999998E-4</v>
      </c>
    </row>
    <row r="8" spans="1:13" x14ac:dyDescent="0.3">
      <c r="B8" t="s">
        <v>6</v>
      </c>
      <c r="C8">
        <f>C4/C6</f>
        <v>9.9999999999999995E-8</v>
      </c>
      <c r="H8" s="25"/>
      <c r="I8" s="17">
        <v>0</v>
      </c>
      <c r="J8" s="20">
        <v>0</v>
      </c>
      <c r="K8" s="20">
        <f>C23</f>
        <v>9.999999999999998E-4</v>
      </c>
      <c r="L8" s="19">
        <f>-C23</f>
        <v>-9.999999999999998E-4</v>
      </c>
      <c r="M8" s="15">
        <v>0</v>
      </c>
    </row>
    <row r="9" spans="1:13" x14ac:dyDescent="0.3">
      <c r="H9" s="25"/>
      <c r="I9" s="17">
        <v>0</v>
      </c>
      <c r="J9" s="20">
        <f>-C22*C20</f>
        <v>-4.5454545454545449E-4</v>
      </c>
      <c r="K9" s="20">
        <v>0</v>
      </c>
      <c r="L9" s="18">
        <v>0</v>
      </c>
      <c r="M9" s="15">
        <v>0</v>
      </c>
    </row>
    <row r="10" spans="1:13" x14ac:dyDescent="0.3">
      <c r="B10" t="s">
        <v>8</v>
      </c>
      <c r="C10">
        <v>1</v>
      </c>
      <c r="H10" s="25"/>
      <c r="I10" s="17">
        <v>0</v>
      </c>
      <c r="J10" s="19">
        <f>C24*C20</f>
        <v>4.5454545454545449E-4</v>
      </c>
      <c r="K10" s="18">
        <v>0</v>
      </c>
      <c r="L10" s="18">
        <f>-C24/C10</f>
        <v>-4.5454545454545449E-4</v>
      </c>
      <c r="M10" s="15">
        <v>0</v>
      </c>
    </row>
    <row r="11" spans="1:13" x14ac:dyDescent="0.3">
      <c r="B11" t="s">
        <v>25</v>
      </c>
      <c r="C11" s="1">
        <f>F11/1000000</f>
        <v>1E-4</v>
      </c>
      <c r="E11" t="s">
        <v>27</v>
      </c>
      <c r="F11">
        <v>100</v>
      </c>
      <c r="J11" s="1"/>
    </row>
    <row r="12" spans="1:13" x14ac:dyDescent="0.3">
      <c r="B12" t="s">
        <v>26</v>
      </c>
      <c r="C12" s="1">
        <f>F12/1000000</f>
        <v>2.2000000000000001E-4</v>
      </c>
      <c r="E12" t="s">
        <v>28</v>
      </c>
      <c r="F12">
        <v>220</v>
      </c>
      <c r="I12" s="1">
        <v>9.9999999999999995E-8</v>
      </c>
      <c r="J12">
        <v>23</v>
      </c>
      <c r="K12">
        <f>ROUNDUP(ABS(LOG(I12,2)),0)</f>
        <v>24</v>
      </c>
    </row>
    <row r="13" spans="1:13" x14ac:dyDescent="0.3">
      <c r="B13" t="s">
        <v>29</v>
      </c>
      <c r="C13" s="1">
        <f t="shared" ref="C13:C14" si="0">F13/1000000</f>
        <v>1E-4</v>
      </c>
      <c r="E13" t="s">
        <v>31</v>
      </c>
      <c r="F13">
        <v>100</v>
      </c>
      <c r="I13">
        <f>ROUNDDOWN(I2*POWER(2,$J$12),0)/POWER(2,$J$12)</f>
        <v>0</v>
      </c>
      <c r="J13">
        <f t="shared" ref="J13:M13" si="1">ROUNDDOWN(J2*POWER(2,$J$12),0)/POWER(2,$J$12)</f>
        <v>0</v>
      </c>
      <c r="K13">
        <f t="shared" si="1"/>
        <v>-9.9992752075195313E-4</v>
      </c>
      <c r="L13">
        <f t="shared" si="1"/>
        <v>0</v>
      </c>
      <c r="M13">
        <f t="shared" si="1"/>
        <v>9.9992752075195313E-4</v>
      </c>
    </row>
    <row r="14" spans="1:13" x14ac:dyDescent="0.3">
      <c r="B14" t="s">
        <v>30</v>
      </c>
      <c r="C14" s="1">
        <f t="shared" si="0"/>
        <v>2.2000000000000001E-4</v>
      </c>
      <c r="E14" t="s">
        <v>32</v>
      </c>
      <c r="F14">
        <v>220</v>
      </c>
      <c r="I14">
        <f t="shared" ref="I14:M14" si="2">ROUNDDOWN(I3*POWER(2,$J$12),0)/POWER(2,$J$12)</f>
        <v>0</v>
      </c>
      <c r="J14">
        <f t="shared" si="2"/>
        <v>0</v>
      </c>
      <c r="K14">
        <f t="shared" si="2"/>
        <v>0</v>
      </c>
      <c r="L14">
        <f t="shared" si="2"/>
        <v>-9.9992752075195313E-4</v>
      </c>
      <c r="M14">
        <f t="shared" si="2"/>
        <v>0</v>
      </c>
    </row>
    <row r="15" spans="1:13" x14ac:dyDescent="0.3">
      <c r="I15">
        <f t="shared" ref="I15:M15" si="3">ROUNDDOWN(I4*POWER(2,$J$12),0)/POWER(2,$J$12)</f>
        <v>4.5454502105712891E-4</v>
      </c>
      <c r="J15">
        <f t="shared" si="3"/>
        <v>0</v>
      </c>
      <c r="K15">
        <f t="shared" si="3"/>
        <v>0</v>
      </c>
      <c r="L15">
        <f t="shared" si="3"/>
        <v>0</v>
      </c>
      <c r="M15">
        <f t="shared" si="3"/>
        <v>0</v>
      </c>
    </row>
    <row r="16" spans="1:13" x14ac:dyDescent="0.3">
      <c r="I16">
        <f t="shared" ref="I16:M16" si="4">ROUNDDOWN(I5*POWER(2,$J$12),0)/POWER(2,$J$12)</f>
        <v>0</v>
      </c>
      <c r="J16">
        <f t="shared" si="4"/>
        <v>4.5454502105712891E-4</v>
      </c>
      <c r="K16">
        <f t="shared" si="4"/>
        <v>0</v>
      </c>
      <c r="L16">
        <f t="shared" si="4"/>
        <v>-4.5454502105712891E-4</v>
      </c>
      <c r="M16">
        <f t="shared" si="4"/>
        <v>0</v>
      </c>
    </row>
    <row r="17" spans="2:13" x14ac:dyDescent="0.3">
      <c r="B17" t="s">
        <v>19</v>
      </c>
      <c r="C17">
        <v>5</v>
      </c>
    </row>
    <row r="18" spans="2:13" x14ac:dyDescent="0.3">
      <c r="I18">
        <f t="shared" ref="I18:M18" si="5">ROUNDDOWN(I7*POWER(2,$J$12),0)/POWER(2,$J$12)</f>
        <v>0</v>
      </c>
      <c r="J18">
        <f t="shared" si="5"/>
        <v>0</v>
      </c>
      <c r="K18">
        <f t="shared" si="5"/>
        <v>0</v>
      </c>
      <c r="L18">
        <f t="shared" si="5"/>
        <v>0</v>
      </c>
      <c r="M18">
        <f t="shared" si="5"/>
        <v>9.9992752075195313E-4</v>
      </c>
    </row>
    <row r="19" spans="2:13" x14ac:dyDescent="0.3">
      <c r="B19" t="s">
        <v>18</v>
      </c>
      <c r="C19">
        <f>C17/C2</f>
        <v>1</v>
      </c>
      <c r="I19">
        <f t="shared" ref="I19:M19" si="6">ROUNDDOWN(I8*POWER(2,$J$12),0)/POWER(2,$J$12)</f>
        <v>0</v>
      </c>
      <c r="J19">
        <f t="shared" si="6"/>
        <v>0</v>
      </c>
      <c r="K19">
        <f t="shared" si="6"/>
        <v>9.9992752075195313E-4</v>
      </c>
      <c r="L19">
        <f t="shared" si="6"/>
        <v>-9.9992752075195313E-4</v>
      </c>
      <c r="M19">
        <f t="shared" si="6"/>
        <v>0</v>
      </c>
    </row>
    <row r="20" spans="2:13" x14ac:dyDescent="0.3">
      <c r="B20" t="s">
        <v>17</v>
      </c>
      <c r="C20">
        <f>C3/C2</f>
        <v>1</v>
      </c>
      <c r="I20">
        <f t="shared" ref="I20:M20" si="7">ROUNDDOWN(I9*POWER(2,$J$12),0)/POWER(2,$J$12)</f>
        <v>0</v>
      </c>
      <c r="J20">
        <f t="shared" si="7"/>
        <v>-4.5454502105712891E-4</v>
      </c>
      <c r="K20">
        <f t="shared" si="7"/>
        <v>0</v>
      </c>
      <c r="L20">
        <f t="shared" si="7"/>
        <v>0</v>
      </c>
      <c r="M20">
        <f t="shared" si="7"/>
        <v>0</v>
      </c>
    </row>
    <row r="21" spans="2:13" x14ac:dyDescent="0.3">
      <c r="B21" t="s">
        <v>33</v>
      </c>
      <c r="C21" s="1">
        <f>C4/C11</f>
        <v>9.999999999999998E-4</v>
      </c>
      <c r="I21">
        <f t="shared" ref="I21:M21" si="8">ROUNDDOWN(I10*POWER(2,$J$12),0)/POWER(2,$J$12)</f>
        <v>0</v>
      </c>
      <c r="J21">
        <f t="shared" si="8"/>
        <v>4.5454502105712891E-4</v>
      </c>
      <c r="K21">
        <f t="shared" si="8"/>
        <v>0</v>
      </c>
      <c r="L21">
        <f t="shared" si="8"/>
        <v>-4.5454502105712891E-4</v>
      </c>
      <c r="M21">
        <f t="shared" si="8"/>
        <v>0</v>
      </c>
    </row>
    <row r="22" spans="2:13" x14ac:dyDescent="0.3">
      <c r="B22" t="s">
        <v>34</v>
      </c>
      <c r="C22" s="1">
        <f>C4/C12</f>
        <v>4.5454545454545449E-4</v>
      </c>
    </row>
    <row r="23" spans="2:13" x14ac:dyDescent="0.3">
      <c r="B23" t="s">
        <v>35</v>
      </c>
      <c r="C23" s="1">
        <f>C4/C13</f>
        <v>9.999999999999998E-4</v>
      </c>
    </row>
    <row r="24" spans="2:13" x14ac:dyDescent="0.3">
      <c r="B24" t="s">
        <v>36</v>
      </c>
      <c r="C24" s="1">
        <f>C4/C14</f>
        <v>4.5454545454545449E-4</v>
      </c>
    </row>
  </sheetData>
  <mergeCells count="3">
    <mergeCell ref="H2:H5"/>
    <mergeCell ref="H7:H10"/>
    <mergeCell ref="I1:L1"/>
  </mergeCells>
  <conditionalFormatting sqref="H1:M10">
    <cfRule type="cellIs" dxfId="1" priority="2" operator="equal">
      <formula>0</formula>
    </cfRule>
  </conditionalFormatting>
  <conditionalFormatting sqref="I1:M10">
    <cfRule type="cellIs" dxfId="0" priority="1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buck</vt:lpstr>
      <vt:lpstr>boost</vt:lpstr>
      <vt:lpstr>buckboost</vt:lpstr>
      <vt:lpstr>Cuk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DN</dc:creator>
  <cp:lastModifiedBy>George DN</cp:lastModifiedBy>
  <dcterms:created xsi:type="dcterms:W3CDTF">2026-03-21T19:05:04Z</dcterms:created>
  <dcterms:modified xsi:type="dcterms:W3CDTF">2026-04-02T19:14:05Z</dcterms:modified>
</cp:coreProperties>
</file>